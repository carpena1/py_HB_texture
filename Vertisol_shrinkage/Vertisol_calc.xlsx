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afa SSD/fortran-projects/pumping/Other/"/>
    </mc:Choice>
  </mc:AlternateContent>
  <xr:revisionPtr revIDLastSave="0" documentId="8_{47F877EE-3366-5847-A715-96E6D22652F1}" xr6:coauthVersionLast="47" xr6:coauthVersionMax="47" xr10:uidLastSave="{00000000-0000-0000-0000-000000000000}"/>
  <bookViews>
    <workbookView xWindow="34340" yWindow="9440" windowWidth="28040" windowHeight="17180" activeTab="1" xr2:uid="{2797F1CA-81AF-1947-97BC-E4773FF98E8D}"/>
  </bookViews>
  <sheets>
    <sheet name="start_volumetric" sheetId="1" r:id="rId1"/>
    <sheet name="start_gravimetri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8" i="2" l="1"/>
  <c r="F8" i="2" s="1"/>
  <c r="H8" i="2" s="1"/>
  <c r="E9" i="2"/>
  <c r="F9" i="2" s="1"/>
  <c r="H9" i="2" s="1"/>
  <c r="E10" i="2"/>
  <c r="F10" i="2" s="1"/>
  <c r="H10" i="2" s="1"/>
  <c r="E11" i="2"/>
  <c r="E12" i="2"/>
  <c r="F12" i="2" s="1"/>
  <c r="H12" i="2" s="1"/>
  <c r="E13" i="2"/>
  <c r="F13" i="2" s="1"/>
  <c r="H13" i="2" s="1"/>
  <c r="E14" i="2"/>
  <c r="F14" i="2" s="1"/>
  <c r="H14" i="2" s="1"/>
  <c r="E15" i="2"/>
  <c r="F15" i="2" s="1"/>
  <c r="H15" i="2" s="1"/>
  <c r="E16" i="2"/>
  <c r="F16" i="2" s="1"/>
  <c r="H16" i="2" s="1"/>
  <c r="E17" i="2"/>
  <c r="F17" i="2" s="1"/>
  <c r="H17" i="2" s="1"/>
  <c r="E18" i="2"/>
  <c r="F18" i="2" s="1"/>
  <c r="H18" i="2" s="1"/>
  <c r="E19" i="2"/>
  <c r="F19" i="2" s="1"/>
  <c r="H19" i="2" s="1"/>
  <c r="E7" i="2"/>
  <c r="F7" i="2" s="1"/>
  <c r="H7" i="2" s="1"/>
  <c r="G8" i="2"/>
  <c r="G9" i="2"/>
  <c r="G10" i="2"/>
  <c r="G11" i="2"/>
  <c r="G12" i="2"/>
  <c r="G13" i="2"/>
  <c r="G14" i="2"/>
  <c r="G15" i="2"/>
  <c r="G16" i="2"/>
  <c r="G17" i="2"/>
  <c r="G18" i="2"/>
  <c r="G19" i="2"/>
  <c r="G7" i="2"/>
  <c r="D8" i="2"/>
  <c r="D9" i="2"/>
  <c r="D10" i="2"/>
  <c r="D11" i="2"/>
  <c r="D12" i="2"/>
  <c r="D13" i="2"/>
  <c r="D14" i="2"/>
  <c r="D15" i="2"/>
  <c r="D16" i="2"/>
  <c r="D17" i="2"/>
  <c r="D18" i="2"/>
  <c r="D19" i="2"/>
  <c r="D7" i="2"/>
  <c r="F11" i="2" l="1"/>
  <c r="H11" i="2" s="1"/>
</calcChain>
</file>

<file path=xl/sharedStrings.xml><?xml version="1.0" encoding="utf-8"?>
<sst xmlns="http://schemas.openxmlformats.org/spreadsheetml/2006/main" count="115" uniqueCount="111">
  <si>
    <t>h (kPa) </t>
  </si>
  <si>
    <t>pF </t>
  </si>
  <si>
    <t>θ one density </t>
  </si>
  <si>
    <t>w (g/g) </t>
  </si>
  <si>
    <t>v (cm³/g) </t>
  </si>
  <si>
    <t>BD(w) (g/cm³) </t>
  </si>
  <si>
    <t>θ new </t>
  </si>
  <si>
    <t>new / one</t>
  </si>
  <si>
    <t>0.00 </t>
  </si>
  <si>
    <t>– </t>
  </si>
  <si>
    <t>0.572 </t>
  </si>
  <si>
    <t>0.542 </t>
  </si>
  <si>
    <t>0.919 </t>
  </si>
  <si>
    <t>1.088 </t>
  </si>
  <si>
    <t>0.590 </t>
  </si>
  <si>
    <t>0.98 </t>
  </si>
  <si>
    <t>1.00 </t>
  </si>
  <si>
    <t>0.535 </t>
  </si>
  <si>
    <t>0.507 </t>
  </si>
  <si>
    <t>0.884 </t>
  </si>
  <si>
    <t>1.131 </t>
  </si>
  <si>
    <t>0.573 </t>
  </si>
  <si>
    <t>5.51 </t>
  </si>
  <si>
    <t>1.75 </t>
  </si>
  <si>
    <t>0.518 </t>
  </si>
  <si>
    <t>0.491 </t>
  </si>
  <si>
    <t>0.868 </t>
  </si>
  <si>
    <t>1.152 </t>
  </si>
  <si>
    <t>0.565 </t>
  </si>
  <si>
    <t>7.79 </t>
  </si>
  <si>
    <t>1.90 </t>
  </si>
  <si>
    <t>0.486 </t>
  </si>
  <si>
    <t>0.461 </t>
  </si>
  <si>
    <t>0.838 </t>
  </si>
  <si>
    <t>1.193 </t>
  </si>
  <si>
    <t>0.550 </t>
  </si>
  <si>
    <t>9.81 </t>
  </si>
  <si>
    <t>2.00 </t>
  </si>
  <si>
    <t>0.457 </t>
  </si>
  <si>
    <t>0.433 </t>
  </si>
  <si>
    <t>0.810 </t>
  </si>
  <si>
    <t>1.234 </t>
  </si>
  <si>
    <t>0.534 </t>
  </si>
  <si>
    <t>13.85 </t>
  </si>
  <si>
    <t>2.15 </t>
  </si>
  <si>
    <t>0.446 </t>
  </si>
  <si>
    <t>0.423 </t>
  </si>
  <si>
    <t>0.800 </t>
  </si>
  <si>
    <t>1.250 </t>
  </si>
  <si>
    <t>0.528 </t>
  </si>
  <si>
    <t>19.57 </t>
  </si>
  <si>
    <t>2.30 </t>
  </si>
  <si>
    <t>0.414 </t>
  </si>
  <si>
    <t>0.392 </t>
  </si>
  <si>
    <t>0.769 </t>
  </si>
  <si>
    <t>1.300 </t>
  </si>
  <si>
    <t>0.510 </t>
  </si>
  <si>
    <t>21.95 </t>
  </si>
  <si>
    <t>2.35 </t>
  </si>
  <si>
    <t>0.367 </t>
  </si>
  <si>
    <t>0.348 </t>
  </si>
  <si>
    <t>0.725 </t>
  </si>
  <si>
    <t>1.379 </t>
  </si>
  <si>
    <t>0.480 </t>
  </si>
  <si>
    <t>31.01 </t>
  </si>
  <si>
    <t>2.50 </t>
  </si>
  <si>
    <t>0.314 </t>
  </si>
  <si>
    <t>0.297 </t>
  </si>
  <si>
    <t>0.675 </t>
  </si>
  <si>
    <t>1.482 </t>
  </si>
  <si>
    <t>0.441 </t>
  </si>
  <si>
    <t>49.15 </t>
  </si>
  <si>
    <t>2.70 </t>
  </si>
  <si>
    <t>0.307 </t>
  </si>
  <si>
    <t>0.291 </t>
  </si>
  <si>
    <t>0.669 </t>
  </si>
  <si>
    <t>1.496 </t>
  </si>
  <si>
    <t>0.436 </t>
  </si>
  <si>
    <t>69.43 </t>
  </si>
  <si>
    <t>2.85 </t>
  </si>
  <si>
    <t>0.303 </t>
  </si>
  <si>
    <t>0.288 </t>
  </si>
  <si>
    <t>0.665 </t>
  </si>
  <si>
    <t>1.504 </t>
  </si>
  <si>
    <t>491.50 </t>
  </si>
  <si>
    <t>3.70 </t>
  </si>
  <si>
    <t>0.296 </t>
  </si>
  <si>
    <t>0.281 </t>
  </si>
  <si>
    <t>0.658 </t>
  </si>
  <si>
    <t>1.519 </t>
  </si>
  <si>
    <t>0.427 </t>
  </si>
  <si>
    <t>1554.25 </t>
  </si>
  <si>
    <t>4.20 </t>
  </si>
  <si>
    <t>0.274 </t>
  </si>
  <si>
    <t>0.260 </t>
  </si>
  <si>
    <t>0.637 </t>
  </si>
  <si>
    <t>1.570 </t>
  </si>
  <si>
    <t>0.407 </t>
  </si>
  <si>
    <t>BD_single=</t>
  </si>
  <si>
    <t>v</t>
  </si>
  <si>
    <t>v = 1/ρs + w</t>
  </si>
  <si>
    <t>BD = min(1.6, 1/v)</t>
  </si>
  <si>
    <t>g/cm3</t>
  </si>
  <si>
    <t>BDi</t>
  </si>
  <si>
    <t>–</t>
  </si>
  <si>
    <t>theta= w. Bdi</t>
  </si>
  <si>
    <t>Theta_var BD</t>
  </si>
  <si>
    <t>Theta_cteBD</t>
  </si>
  <si>
    <t>theta var/cte BD</t>
  </si>
  <si>
    <t>BDi = min(1 , 1/v)</t>
  </si>
  <si>
    <t>threshold=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</si>
</sst>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start_gravimetric!$B$7:$B$19</c:f>
              <c:strCache>
                <c:ptCount val="13"/>
                <c:pt idx="0">
                  <c:v>–</c:v>
                </c:pt>
                <c:pt idx="1">
                  <c:v>1</c:v>
                </c:pt>
                <c:pt idx="2">
                  <c:v>1.75</c:v>
                </c:pt>
                <c:pt idx="3">
                  <c:v>1.9</c:v>
                </c:pt>
                <c:pt idx="4">
                  <c:v>2</c:v>
                </c:pt>
                <c:pt idx="5">
                  <c:v>2.15</c:v>
                </c:pt>
                <c:pt idx="6">
                  <c:v>2.3</c:v>
                </c:pt>
                <c:pt idx="7">
                  <c:v>2.35</c:v>
                </c:pt>
                <c:pt idx="8">
                  <c:v>2.5</c:v>
                </c:pt>
                <c:pt idx="9">
                  <c:v>2.7</c:v>
                </c:pt>
                <c:pt idx="10">
                  <c:v>2.85</c:v>
                </c:pt>
                <c:pt idx="11">
                  <c:v>3.7</c:v>
                </c:pt>
                <c:pt idx="12">
                  <c:v>4.2</c:v>
                </c:pt>
              </c:strCache>
            </c:strRef>
          </c:xVal>
          <c:yVal>
            <c:numRef>
              <c:f>start_gravimetric!$F$7:$F$19</c:f>
              <c:numCache>
                <c:formatCode>0.0000</c:formatCode>
                <c:ptCount val="13"/>
                <c:pt idx="0">
                  <c:v>0.58954151787546683</c:v>
                </c:pt>
                <c:pt idx="1">
                  <c:v>0.57329692133728738</c:v>
                </c:pt>
                <c:pt idx="2">
                  <c:v>0.56543467396736413</c:v>
                </c:pt>
                <c:pt idx="3">
                  <c:v>0.54988409515450232</c:v>
                </c:pt>
                <c:pt idx="4">
                  <c:v>0.53433141633099723</c:v>
                </c:pt>
                <c:pt idx="5">
                  <c:v>0.52851316626983191</c:v>
                </c:pt>
                <c:pt idx="6">
                  <c:v>0.50951540121640182</c:v>
                </c:pt>
                <c:pt idx="7">
                  <c:v>0.47976277182395166</c:v>
                </c:pt>
                <c:pt idx="8">
                  <c:v>0.4404185669119498</c:v>
                </c:pt>
                <c:pt idx="9">
                  <c:v>0.43539508229116664</c:v>
                </c:pt>
                <c:pt idx="10">
                  <c:v>0.4328493647912886</c:v>
                </c:pt>
                <c:pt idx="11">
                  <c:v>0.4268191327773479</c:v>
                </c:pt>
                <c:pt idx="12">
                  <c:v>0.40793368857312018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1C-4B42-A8D3-6E37A0F452F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start_gravimetric!$B$7:$B$19</c:f>
              <c:strCache>
                <c:ptCount val="13"/>
                <c:pt idx="0">
                  <c:v>–</c:v>
                </c:pt>
                <c:pt idx="1">
                  <c:v>1</c:v>
                </c:pt>
                <c:pt idx="2">
                  <c:v>1.75</c:v>
                </c:pt>
                <c:pt idx="3">
                  <c:v>1.9</c:v>
                </c:pt>
                <c:pt idx="4">
                  <c:v>2</c:v>
                </c:pt>
                <c:pt idx="5">
                  <c:v>2.15</c:v>
                </c:pt>
                <c:pt idx="6">
                  <c:v>2.3</c:v>
                </c:pt>
                <c:pt idx="7">
                  <c:v>2.35</c:v>
                </c:pt>
                <c:pt idx="8">
                  <c:v>2.5</c:v>
                </c:pt>
                <c:pt idx="9">
                  <c:v>2.7</c:v>
                </c:pt>
                <c:pt idx="10">
                  <c:v>2.85</c:v>
                </c:pt>
                <c:pt idx="11">
                  <c:v>3.7</c:v>
                </c:pt>
                <c:pt idx="12">
                  <c:v>4.2</c:v>
                </c:pt>
              </c:strCache>
            </c:strRef>
          </c:xVal>
          <c:yVal>
            <c:numRef>
              <c:f>start_gravimetric!$G$7:$G$19</c:f>
              <c:numCache>
                <c:formatCode>General</c:formatCode>
                <c:ptCount val="13"/>
                <c:pt idx="0">
                  <c:v>0.57181000000000004</c:v>
                </c:pt>
                <c:pt idx="1">
                  <c:v>0.53488499999999994</c:v>
                </c:pt>
                <c:pt idx="2">
                  <c:v>0.51800499999999994</c:v>
                </c:pt>
                <c:pt idx="3">
                  <c:v>0.48635499999999998</c:v>
                </c:pt>
                <c:pt idx="4">
                  <c:v>0.45681499999999997</c:v>
                </c:pt>
                <c:pt idx="5">
                  <c:v>0.44626499999999997</c:v>
                </c:pt>
                <c:pt idx="6">
                  <c:v>0.41355999999999998</c:v>
                </c:pt>
                <c:pt idx="7">
                  <c:v>0.36713999999999997</c:v>
                </c:pt>
                <c:pt idx="8">
                  <c:v>0.31333499999999997</c:v>
                </c:pt>
                <c:pt idx="9">
                  <c:v>0.30700499999999997</c:v>
                </c:pt>
                <c:pt idx="10">
                  <c:v>0.30383999999999994</c:v>
                </c:pt>
                <c:pt idx="11">
                  <c:v>0.29645500000000002</c:v>
                </c:pt>
                <c:pt idx="12">
                  <c:v>0.27429999999999999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1C-4B42-A8D3-6E37A0F45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899007"/>
        <c:axId val="1232503231"/>
      </c:scatterChart>
      <c:valAx>
        <c:axId val="130789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2503231"/>
        <c:crosses val="autoZero"/>
        <c:crossBetween val="midCat"/>
      </c:valAx>
      <c:valAx>
        <c:axId val="123250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99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114394</xdr:colOff>
      <xdr:row>5</xdr:row>
      <xdr:rowOff>143995</xdr:rowOff>
    </xdr:from>
    <xdr:to>
      <xdr:col>13</xdr:col>
      <xdr:colOff>536482</xdr:colOff>
      <xdr:row>19</xdr:row>
      <xdr:rowOff>63312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326B48-A6D5-687B-8C9E-DCD991B6A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799B-F5F7-C949-8720-491A6CEAD9A1}">
  <dimension ref="A1:H14"/>
  <sheetViews>
    <sheetView workbookViewId="0">
      <selection activeCell="C1" sqref="C1:C1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>
        <v>1.03</v>
      </c>
    </row>
    <row r="3" spans="1:8" x14ac:dyDescent="0.2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>
        <v>1.07</v>
      </c>
    </row>
    <row r="4" spans="1:8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>
        <v>1.0900000000000001</v>
      </c>
    </row>
    <row r="5" spans="1:8" x14ac:dyDescent="0.2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>
        <v>1.1299999999999999</v>
      </c>
    </row>
    <row r="6" spans="1:8" x14ac:dyDescent="0.2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>
        <v>1.17</v>
      </c>
    </row>
    <row r="7" spans="1:8" x14ac:dyDescent="0.2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>
        <v>1.18</v>
      </c>
    </row>
    <row r="8" spans="1:8" x14ac:dyDescent="0.2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>
        <v>1.23</v>
      </c>
    </row>
    <row r="9" spans="1:8" x14ac:dyDescent="0.2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>
        <v>1.31</v>
      </c>
    </row>
    <row r="10" spans="1:8" x14ac:dyDescent="0.2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>
        <v>1.4</v>
      </c>
    </row>
    <row r="11" spans="1:8" x14ac:dyDescent="0.2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>
        <v>1.42</v>
      </c>
    </row>
    <row r="12" spans="1:8" x14ac:dyDescent="0.2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39</v>
      </c>
      <c r="H12" s="1">
        <v>1.43</v>
      </c>
    </row>
    <row r="13" spans="1:8" x14ac:dyDescent="0.2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>
        <v>1.44</v>
      </c>
    </row>
    <row r="14" spans="1:8" x14ac:dyDescent="0.2">
      <c r="A14" s="1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1" t="s">
        <v>96</v>
      </c>
      <c r="G14" s="1" t="s">
        <v>97</v>
      </c>
      <c r="H14" s="1">
        <v>1.49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CB1D-8426-114F-A4FF-E4AA0B4C922F}">
  <dimension ref="A1:H19"/>
  <sheetViews>
    <sheetView tabSelected="1" zoomScale="189" zoomScaleNormal="160" workbookViewId="0">
      <selection activeCell="F3" sqref="F3"/>
    </sheetView>
  </sheetViews>
  <sheetFormatPr baseColWidth="10" defaultRowHeight="16" x14ac:dyDescent="0.2"/>
  <cols>
    <col min="6" max="6" width="13.6640625" bestFit="1" customWidth="1"/>
  </cols>
  <sheetData>
    <row r="1" spans="1:8" x14ac:dyDescent="0.2">
      <c r="A1" t="s">
        <v>100</v>
      </c>
    </row>
    <row r="2" spans="1:8" x14ac:dyDescent="0.2">
      <c r="A2" t="s">
        <v>109</v>
      </c>
    </row>
    <row r="3" spans="1:8" x14ac:dyDescent="0.2">
      <c r="A3" t="s">
        <v>101</v>
      </c>
      <c r="C3" t="s">
        <v>110</v>
      </c>
      <c r="D3">
        <v>1.75</v>
      </c>
    </row>
    <row r="4" spans="1:8" x14ac:dyDescent="0.2">
      <c r="A4" t="s">
        <v>105</v>
      </c>
    </row>
    <row r="5" spans="1:8" x14ac:dyDescent="0.2">
      <c r="A5" t="s">
        <v>98</v>
      </c>
      <c r="B5">
        <v>1.0549999999999999</v>
      </c>
      <c r="C5" t="s">
        <v>102</v>
      </c>
    </row>
    <row r="6" spans="1:8" x14ac:dyDescent="0.2">
      <c r="A6" s="1" t="s">
        <v>0</v>
      </c>
      <c r="B6" s="1" t="s">
        <v>1</v>
      </c>
      <c r="C6" s="1" t="s">
        <v>3</v>
      </c>
      <c r="D6" s="1" t="s">
        <v>99</v>
      </c>
      <c r="E6" s="1" t="s">
        <v>103</v>
      </c>
      <c r="F6" s="1" t="s">
        <v>106</v>
      </c>
      <c r="G6" s="1" t="s">
        <v>107</v>
      </c>
      <c r="H6" s="1" t="s">
        <v>108</v>
      </c>
    </row>
    <row r="7" spans="1:8" x14ac:dyDescent="0.2">
      <c r="A7" s="1">
        <v>0</v>
      </c>
      <c r="B7" s="1" t="s">
        <v>104</v>
      </c>
      <c r="C7" s="1">
        <v>0.54200000000000004</v>
      </c>
      <c r="D7" s="3">
        <f>1/2.65+C7</f>
        <v>0.9193584905660378</v>
      </c>
      <c r="E7" s="3">
        <f>MIN($D$3,1/D7)</f>
        <v>1.0877149776300126</v>
      </c>
      <c r="F7" s="3">
        <f>C7*E7</f>
        <v>0.58954151787546683</v>
      </c>
      <c r="G7">
        <f>C7*$B$5</f>
        <v>0.57181000000000004</v>
      </c>
      <c r="H7" s="2">
        <f>F7/G7</f>
        <v>1.0310094574692061</v>
      </c>
    </row>
    <row r="8" spans="1:8" x14ac:dyDescent="0.2">
      <c r="A8" s="1">
        <v>0.98</v>
      </c>
      <c r="B8" s="1">
        <v>1</v>
      </c>
      <c r="C8" s="1">
        <v>0.50700000000000001</v>
      </c>
      <c r="D8" s="3">
        <f t="shared" ref="D8:D19" si="0">1/2.65+C8</f>
        <v>0.88435849056603777</v>
      </c>
      <c r="E8" s="3">
        <f t="shared" ref="E8:E19" si="1">MIN($D$3,1/D8)</f>
        <v>1.1307631584561881</v>
      </c>
      <c r="F8" s="3">
        <f t="shared" ref="F8:F19" si="2">C8*E8</f>
        <v>0.57329692133728738</v>
      </c>
      <c r="G8">
        <f t="shared" ref="G8:G19" si="3">C8*$B$5</f>
        <v>0.53488499999999994</v>
      </c>
      <c r="H8" s="2">
        <f t="shared" ref="H8:H19" si="4">F8/G8</f>
        <v>1.0718134203376193</v>
      </c>
    </row>
    <row r="9" spans="1:8" x14ac:dyDescent="0.2">
      <c r="A9" s="1">
        <v>5.51</v>
      </c>
      <c r="B9" s="1">
        <v>1.75</v>
      </c>
      <c r="C9" s="1">
        <v>0.49099999999999999</v>
      </c>
      <c r="D9" s="3">
        <f t="shared" si="0"/>
        <v>0.86835849056603776</v>
      </c>
      <c r="E9" s="3">
        <f t="shared" si="1"/>
        <v>1.151598113986485</v>
      </c>
      <c r="F9" s="3">
        <f t="shared" si="2"/>
        <v>0.56543467396736413</v>
      </c>
      <c r="G9">
        <f t="shared" si="3"/>
        <v>0.51800499999999994</v>
      </c>
      <c r="H9" s="2">
        <f t="shared" si="4"/>
        <v>1.0915621933521187</v>
      </c>
    </row>
    <row r="10" spans="1:8" x14ac:dyDescent="0.2">
      <c r="A10" s="1">
        <v>7.79</v>
      </c>
      <c r="B10" s="1">
        <v>1.9</v>
      </c>
      <c r="C10" s="1">
        <v>0.46100000000000002</v>
      </c>
      <c r="D10" s="3">
        <f t="shared" si="0"/>
        <v>0.83835849056603773</v>
      </c>
      <c r="E10" s="3">
        <f t="shared" si="1"/>
        <v>1.1928071478405688</v>
      </c>
      <c r="F10" s="3">
        <f t="shared" si="2"/>
        <v>0.54988409515450232</v>
      </c>
      <c r="G10">
        <f t="shared" si="3"/>
        <v>0.48635499999999998</v>
      </c>
      <c r="H10" s="2">
        <f t="shared" si="4"/>
        <v>1.1306228889484067</v>
      </c>
    </row>
    <row r="11" spans="1:8" x14ac:dyDescent="0.2">
      <c r="A11" s="1">
        <v>9.81</v>
      </c>
      <c r="B11" s="1">
        <v>2</v>
      </c>
      <c r="C11" s="1">
        <v>0.433</v>
      </c>
      <c r="D11" s="3">
        <f t="shared" si="0"/>
        <v>0.8103584905660377</v>
      </c>
      <c r="E11" s="3">
        <f t="shared" si="1"/>
        <v>1.2340217467228574</v>
      </c>
      <c r="F11" s="3">
        <f t="shared" si="2"/>
        <v>0.53433141633099723</v>
      </c>
      <c r="G11">
        <f t="shared" si="3"/>
        <v>0.45681499999999997</v>
      </c>
      <c r="H11" s="2">
        <f t="shared" si="4"/>
        <v>1.1696888594529455</v>
      </c>
    </row>
    <row r="12" spans="1:8" x14ac:dyDescent="0.2">
      <c r="A12" s="1">
        <v>13.85</v>
      </c>
      <c r="B12" s="1">
        <v>2.15</v>
      </c>
      <c r="C12" s="1">
        <v>0.42299999999999999</v>
      </c>
      <c r="D12" s="3">
        <f t="shared" si="0"/>
        <v>0.80035849056603769</v>
      </c>
      <c r="E12" s="3">
        <f t="shared" si="1"/>
        <v>1.2494401093849454</v>
      </c>
      <c r="F12" s="3">
        <f t="shared" si="2"/>
        <v>0.52851316626983191</v>
      </c>
      <c r="G12">
        <f t="shared" si="3"/>
        <v>0.44626499999999997</v>
      </c>
      <c r="H12" s="2">
        <f t="shared" si="4"/>
        <v>1.1843034212179577</v>
      </c>
    </row>
    <row r="13" spans="1:8" x14ac:dyDescent="0.2">
      <c r="A13" s="1">
        <v>19.57</v>
      </c>
      <c r="B13" s="1">
        <v>2.2999999999999998</v>
      </c>
      <c r="C13" s="1">
        <v>0.39200000000000002</v>
      </c>
      <c r="D13" s="3">
        <f t="shared" si="0"/>
        <v>0.76935849056603778</v>
      </c>
      <c r="E13" s="3">
        <f t="shared" si="1"/>
        <v>1.2997841867765352</v>
      </c>
      <c r="F13" s="3">
        <f t="shared" si="2"/>
        <v>0.50951540121640182</v>
      </c>
      <c r="G13">
        <f t="shared" si="3"/>
        <v>0.41355999999999998</v>
      </c>
      <c r="H13" s="2">
        <f t="shared" si="4"/>
        <v>1.2320229258545359</v>
      </c>
    </row>
    <row r="14" spans="1:8" x14ac:dyDescent="0.2">
      <c r="A14" s="1">
        <v>21.95</v>
      </c>
      <c r="B14" s="1">
        <v>2.35</v>
      </c>
      <c r="C14" s="1">
        <v>0.34799999999999998</v>
      </c>
      <c r="D14" s="3">
        <f t="shared" si="0"/>
        <v>0.72535849056603774</v>
      </c>
      <c r="E14" s="3">
        <f t="shared" si="1"/>
        <v>1.3786286546665278</v>
      </c>
      <c r="F14" s="3">
        <f t="shared" si="2"/>
        <v>0.47976277182395166</v>
      </c>
      <c r="G14">
        <f t="shared" si="3"/>
        <v>0.36713999999999997</v>
      </c>
      <c r="H14" s="2">
        <f t="shared" si="4"/>
        <v>1.3067570186412587</v>
      </c>
    </row>
    <row r="15" spans="1:8" x14ac:dyDescent="0.2">
      <c r="A15" s="1">
        <v>31.01</v>
      </c>
      <c r="B15" s="1">
        <v>2.5</v>
      </c>
      <c r="C15" s="1">
        <v>0.29699999999999999</v>
      </c>
      <c r="D15" s="3">
        <f t="shared" si="0"/>
        <v>0.6743584905660378</v>
      </c>
      <c r="E15" s="3">
        <f t="shared" si="1"/>
        <v>1.4828907976833328</v>
      </c>
      <c r="F15" s="3">
        <f t="shared" si="2"/>
        <v>0.4404185669119498</v>
      </c>
      <c r="G15">
        <f t="shared" si="3"/>
        <v>0.31333499999999997</v>
      </c>
      <c r="H15" s="2">
        <f t="shared" si="4"/>
        <v>1.4055836944865714</v>
      </c>
    </row>
    <row r="16" spans="1:8" x14ac:dyDescent="0.2">
      <c r="A16" s="1">
        <v>49.15</v>
      </c>
      <c r="B16" s="1">
        <v>2.7</v>
      </c>
      <c r="C16" s="1">
        <v>0.29099999999999998</v>
      </c>
      <c r="D16" s="3">
        <f t="shared" si="0"/>
        <v>0.6683584905660378</v>
      </c>
      <c r="E16" s="3">
        <f t="shared" si="1"/>
        <v>1.4962030319284079</v>
      </c>
      <c r="F16" s="3">
        <f t="shared" si="2"/>
        <v>0.43539508229116664</v>
      </c>
      <c r="G16">
        <f t="shared" si="3"/>
        <v>0.30700499999999997</v>
      </c>
      <c r="H16" s="2">
        <f t="shared" si="4"/>
        <v>1.4182019259984908</v>
      </c>
    </row>
    <row r="17" spans="1:8" x14ac:dyDescent="0.2">
      <c r="A17" s="1">
        <v>69.430000000000007</v>
      </c>
      <c r="B17" s="1">
        <v>2.85</v>
      </c>
      <c r="C17" s="1">
        <v>0.28799999999999998</v>
      </c>
      <c r="D17" s="3">
        <f t="shared" si="0"/>
        <v>0.66535849056603769</v>
      </c>
      <c r="E17" s="3">
        <f t="shared" si="1"/>
        <v>1.5029491833030855</v>
      </c>
      <c r="F17" s="3">
        <f t="shared" si="2"/>
        <v>0.4328493647912886</v>
      </c>
      <c r="G17">
        <f t="shared" si="3"/>
        <v>0.30383999999999994</v>
      </c>
      <c r="H17" s="2">
        <f t="shared" si="4"/>
        <v>1.4245963822778063</v>
      </c>
    </row>
    <row r="18" spans="1:8" x14ac:dyDescent="0.2">
      <c r="A18" s="1">
        <v>491.5</v>
      </c>
      <c r="B18" s="1">
        <v>3.7</v>
      </c>
      <c r="C18" s="1">
        <v>0.28100000000000003</v>
      </c>
      <c r="D18" s="3">
        <f t="shared" si="0"/>
        <v>0.65835849056603779</v>
      </c>
      <c r="E18" s="3">
        <f t="shared" si="1"/>
        <v>1.518929298140028</v>
      </c>
      <c r="F18" s="3">
        <f t="shared" si="2"/>
        <v>0.4268191327773479</v>
      </c>
      <c r="G18">
        <f t="shared" si="3"/>
        <v>0.29645500000000002</v>
      </c>
      <c r="H18" s="2">
        <f t="shared" si="4"/>
        <v>1.4397434105592681</v>
      </c>
    </row>
    <row r="19" spans="1:8" x14ac:dyDescent="0.2">
      <c r="A19" s="1">
        <v>1554.25</v>
      </c>
      <c r="B19" s="1">
        <v>4.2</v>
      </c>
      <c r="C19" s="1">
        <v>0.26</v>
      </c>
      <c r="D19" s="3">
        <f t="shared" si="0"/>
        <v>0.63735849056603777</v>
      </c>
      <c r="E19" s="3">
        <f t="shared" si="1"/>
        <v>1.5689757252812313</v>
      </c>
      <c r="F19" s="3">
        <f t="shared" si="2"/>
        <v>0.40793368857312018</v>
      </c>
      <c r="G19">
        <f t="shared" si="3"/>
        <v>0.27429999999999999</v>
      </c>
      <c r="H19" s="2">
        <f t="shared" si="4"/>
        <v>1.4871807822570915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start_volumetric</vt:lpstr>
      <vt:lpstr>start_gravimetric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Munoz-Carpena,Rafael</dc:creator>
  <cp:lastModifiedBy>Munoz-Carpena,Rafael</cp:lastModifiedBy>
  <dcterms:created xsi:type="dcterms:W3CDTF">2026-10-12T19:17:38Z</dcterms:created>
  <dcterms:modified xsi:type="dcterms:W3CDTF">2026-10-12T21:18:35Z</dcterms:modified>
</cp:coreProperties>
</file>